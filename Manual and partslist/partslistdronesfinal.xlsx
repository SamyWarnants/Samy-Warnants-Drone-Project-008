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yLegion\Documents\school\3dejaar\stagelaptop\finalfiles\"/>
    </mc:Choice>
  </mc:AlternateContent>
  <xr:revisionPtr revIDLastSave="0" documentId="8_{D882884D-50B4-4324-AB91-6FB129E0A785}" xr6:coauthVersionLast="47" xr6:coauthVersionMax="47" xr10:uidLastSave="{00000000-0000-0000-0000-000000000000}"/>
  <bookViews>
    <workbookView xWindow="-110" yWindow="-110" windowWidth="25820" windowHeight="15500" xr2:uid="{F2BF227E-C851-494D-9872-DBB0316D8F8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2" i="1"/>
  <c r="D6" i="1"/>
  <c r="B15" i="1"/>
  <c r="B13" i="1"/>
  <c r="B21" i="1"/>
  <c r="D21" i="1"/>
  <c r="D29" i="1"/>
  <c r="D28" i="1"/>
  <c r="D27" i="1"/>
  <c r="D26" i="1"/>
  <c r="B4" i="1"/>
  <c r="D4" i="1"/>
  <c r="D22" i="1" s="1"/>
  <c r="D15" i="1"/>
  <c r="D10" i="1"/>
  <c r="B10" i="1"/>
  <c r="D2" i="1"/>
  <c r="D19" i="1"/>
  <c r="D17" i="1"/>
  <c r="B17" i="1"/>
  <c r="D8" i="1"/>
  <c r="B8" i="1"/>
</calcChain>
</file>

<file path=xl/sharedStrings.xml><?xml version="1.0" encoding="utf-8"?>
<sst xmlns="http://schemas.openxmlformats.org/spreadsheetml/2006/main" count="38" uniqueCount="38">
  <si>
    <t>Frame:</t>
  </si>
  <si>
    <t>ESC's:</t>
  </si>
  <si>
    <t>Links</t>
  </si>
  <si>
    <t>Battery</t>
  </si>
  <si>
    <t>sale</t>
  </si>
  <si>
    <t>amount</t>
  </si>
  <si>
    <t>Flightcontroller</t>
  </si>
  <si>
    <t>Companion computer</t>
  </si>
  <si>
    <t>https://www.nvidia.com/en-us/autonomous-machines/embedded-systems/jetson-orin/nano-super-developer-kit/</t>
  </si>
  <si>
    <t>Total weight (g)</t>
  </si>
  <si>
    <t>Transmitter</t>
  </si>
  <si>
    <t>Price (euro's) excl shipping</t>
  </si>
  <si>
    <t>Telemetry:</t>
  </si>
  <si>
    <t>https://holybro.com/collections/telemetry-radios/products/sik-telemetry-radio-v3</t>
  </si>
  <si>
    <t xml:space="preserve">Camera: </t>
  </si>
  <si>
    <t>Propellors</t>
  </si>
  <si>
    <t>https://www.fruugo.fi/uruav-222v-10000mah-60c-6s-lipo-akku-xt90-pistoke-rc-dronelle/p-334028395-736259878?language=fi&amp;ac=google&amp;utm_source=google&amp;utm_medium=paid&amp;asc=pmax&amp;gad_source=1&amp;gad_campaignid=21127137097&amp;gbraid=0AAAAADpXug2EFc1ci8AKT0iXxsPFLC2AZ&amp;gclid=CjwKCAiAnoXNBhAZEiwAnItcGzeoeh_bTphSDhwwqplz8Unhppv1_isu7Gxbc4pvcHX4oID_8KQnyBoCcnUQAvD_BwE</t>
  </si>
  <si>
    <t>https://www.reichelt.com/fi/en/shop/product/pixhawk_orange_cube_and_pixhawk_2_1-334677</t>
  </si>
  <si>
    <t>Motors: (400kv variant)</t>
  </si>
  <si>
    <t>https://www.premium-modellbau.de/holybro-x650-frame-kit-30178</t>
  </si>
  <si>
    <t xml:space="preserve"> </t>
  </si>
  <si>
    <t>https://www.dronivo.de/T-Motor-MN4014-Elektromotor-KV400</t>
  </si>
  <si>
    <t>https://www.dronivo.de/T-Motor-Air-40A-ESC</t>
  </si>
  <si>
    <t>https://chinahobbyline.com/products/cnhl-black-series-5000mah-22-2v-6s-65c-lipo-battery-with-xt90-plug</t>
  </si>
  <si>
    <t>https://www.data-systems.fi/tuote/intel-realsense-depth-camera-d415/?srsltid=AfmBOorl8DmAqEFmU61YEYtm_E-4H9KWHcTkL67a-I7SncvDKb2zr_ss</t>
  </si>
  <si>
    <t>https://radiomasterrc.com/products/tx16s-mark-ii-max-radio-controller?variant=46486362030272</t>
  </si>
  <si>
    <t>https://originhobbies.com/shop/radio-control/radio-receivers/elrs-protocol/radiomaster-rp4td-expresslrs-2-4ghz-true-diversity-receiver-lbt/?srsltid=AfmBOorbjWUpKhW32IFEt7buNOijspihLb_xUzCA20gn3arY9Y6nbfaH&amp;v=75778bf8fde7</t>
  </si>
  <si>
    <t>new additions:</t>
  </si>
  <si>
    <t>bullet connectors</t>
  </si>
  <si>
    <t>https://www.hobbylinna.fi/fi/product/connector-bullet-4mm-female-10pcs/B9573?srsltid=AfmBOoq8pqpsU37bNKNMSeRQoH7ecWiafjPogCaEsoErBxoKXeklt5m5jY8</t>
  </si>
  <si>
    <t>barrel jack</t>
  </si>
  <si>
    <t>https://www.valomaja.fi/tuote/dc-plug-liitantakaapeli-2-5-5-5-mm-uros/</t>
  </si>
  <si>
    <t>power distribution board</t>
  </si>
  <si>
    <t>Holybro - Power of Distribution Board - Dronivo - Ihr Experte für Dro, 5,46 €</t>
  </si>
  <si>
    <t>Voltage step down converter</t>
  </si>
  <si>
    <t>unknown link</t>
  </si>
  <si>
    <t>https://www.dronivo.de/T-Motor-NS15x5-Propeller-Set-2-Stk</t>
  </si>
  <si>
    <t>extra weight for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</si>
</sst>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0" fillId="3" borderId="0" xfId="0" applyFill="1"/>
    <xf numFmtId="0" fontId="0" fillId="0" borderId="0" xfId="0" applyAlignment="1">
      <alignment horizontal="right"/>
    </xf>
    <xf numFmtId="0" fontId="2" fillId="2" borderId="0" xfId="0" applyFont="1" applyFill="1"/>
    <xf numFmtId="0" fontId="3" fillId="0" borderId="0" xfId="1" applyFont="1"/>
    <xf numFmtId="0" fontId="4" fillId="2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inahobbyline.com/products/cnhl-black-series-5000mah-22-2v-6s-65c-lipo-battery-with-xt90-plug" TargetMode="External"/><Relationship Id="rId3" Type="http://schemas.openxmlformats.org/officeDocument/2006/relationships/hyperlink" Target="https://www.premium-modellbau.de/holybro-x650-frame-kit-30178" TargetMode="External"/><Relationship Id="rId7" Type="http://schemas.openxmlformats.org/officeDocument/2006/relationships/hyperlink" Target="https://www.fruugo.fi/uruav-222v-10000mah-60c-6s-lipo-akku-xt90-pistoke-rc-dronelle/p-334028395-736259878?language=fi&amp;ac=google&amp;utm_source=google&amp;utm_medium=paid&amp;asc=pmax&amp;gad_source=1&amp;gad_campaignid=21127137097&amp;gbraid=0AAAAADpXug2EFc1ci8AKT0iXxsPFLC2AZ&amp;gclid=CjwKCAiAnoXNBhAZEiwAnItcGzeoeh_bTphSDhwwqplz8Unhppv1_isu7Gxbc4pvcHX4oID_8KQnyBoCcnUQAvD_Bw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nvidia.com/en-us/autonomous-machines/embedded-systems/jetson-orin/nano-super-developer-kit/" TargetMode="External"/><Relationship Id="rId1" Type="http://schemas.openxmlformats.org/officeDocument/2006/relationships/hyperlink" Target="https://holybro.com/collections/telemetry-radios/products/sik-telemetry-radio-v3" TargetMode="External"/><Relationship Id="rId6" Type="http://schemas.openxmlformats.org/officeDocument/2006/relationships/hyperlink" Target="https://www.dronivo.de/T-Motor-Air-40A-ESC" TargetMode="External"/><Relationship Id="rId11" Type="http://schemas.openxmlformats.org/officeDocument/2006/relationships/hyperlink" Target="https://www.dronivo.de/Holybro-Power-of-Distribution-Board" TargetMode="External"/><Relationship Id="rId5" Type="http://schemas.openxmlformats.org/officeDocument/2006/relationships/hyperlink" Target="https://www.reichelt.com/fi/en/shop/product/pixhawk_orange_cube_and_pixhawk_2_1-334677" TargetMode="External"/><Relationship Id="rId10" Type="http://schemas.openxmlformats.org/officeDocument/2006/relationships/hyperlink" Target="https://www.valomaja.fi/tuote/dc-plug-liitantakaapeli-2-5-5-5-mm-uros/" TargetMode="External"/><Relationship Id="rId4" Type="http://schemas.openxmlformats.org/officeDocument/2006/relationships/hyperlink" Target="https://www.dronivo.de/T-Motor-MN4014-Elektromotor-KV400" TargetMode="External"/><Relationship Id="rId9" Type="http://schemas.openxmlformats.org/officeDocument/2006/relationships/hyperlink" Target="https://www.hobbylinna.fi/fi/product/connector-bullet-4mm-female-10pcs/B9573?srsltid=AfmBOoq8pqpsU37bNKNMSeRQoH7ecWiafjPogCaEsoErBxoKXeklt5m5j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A6D3-0D67-4B7B-8664-8DC674F2945F}">
  <dimension ref="A1:F34"/>
  <sheetViews>
    <sheetView tabSelected="1" zoomScaleNormal="100" workbookViewId="0">
      <selection activeCell="F17" sqref="F17"/>
    </sheetView>
  </sheetViews>
  <sheetFormatPr defaultRowHeight="14.5" x14ac:dyDescent="0.35"/>
  <cols>
    <col min="1" max="1" width="30.26953125" customWidth="1"/>
    <col min="2" max="2" width="24.08984375" customWidth="1"/>
    <col min="4" max="4" width="27.7265625" customWidth="1"/>
    <col min="5" max="5" width="9.54296875" bestFit="1" customWidth="1"/>
    <col min="6" max="6" width="151.26953125" customWidth="1"/>
  </cols>
  <sheetData>
    <row r="1" spans="1:6" x14ac:dyDescent="0.35">
      <c r="B1" s="3" t="s">
        <v>9</v>
      </c>
      <c r="C1" s="3" t="s">
        <v>5</v>
      </c>
      <c r="D1" s="3" t="s">
        <v>11</v>
      </c>
      <c r="E1" s="3" t="s">
        <v>4</v>
      </c>
      <c r="F1" s="3" t="s">
        <v>2</v>
      </c>
    </row>
    <row r="2" spans="1:6" x14ac:dyDescent="0.35">
      <c r="A2" s="7" t="s">
        <v>0</v>
      </c>
      <c r="B2" s="4">
        <f>689*C2</f>
        <v>689</v>
      </c>
      <c r="C2" s="4">
        <v>1</v>
      </c>
      <c r="D2" s="4">
        <f>369.9*C2</f>
        <v>369.9</v>
      </c>
      <c r="E2" s="4"/>
      <c r="F2" s="2" t="s">
        <v>19</v>
      </c>
    </row>
    <row r="3" spans="1:6" x14ac:dyDescent="0.35">
      <c r="A3" s="7"/>
      <c r="B3" s="4"/>
      <c r="C3" s="4"/>
      <c r="D3" s="4"/>
      <c r="E3" s="4"/>
    </row>
    <row r="4" spans="1:6" x14ac:dyDescent="0.35">
      <c r="A4" s="7" t="s">
        <v>3</v>
      </c>
      <c r="B4" s="4">
        <f>790</f>
        <v>790</v>
      </c>
      <c r="C4" s="4">
        <v>1</v>
      </c>
      <c r="D4" s="4">
        <f>58.07*C4</f>
        <v>58.07</v>
      </c>
      <c r="E4" s="4"/>
      <c r="F4" s="1" t="s">
        <v>16</v>
      </c>
    </row>
    <row r="5" spans="1:6" x14ac:dyDescent="0.35">
      <c r="A5" s="7"/>
      <c r="B5" s="4"/>
      <c r="C5" s="4"/>
      <c r="D5" s="4"/>
      <c r="E5" s="4"/>
      <c r="F5" s="1" t="s">
        <v>23</v>
      </c>
    </row>
    <row r="6" spans="1:6" x14ac:dyDescent="0.35">
      <c r="A6" s="7" t="s">
        <v>6</v>
      </c>
      <c r="B6" s="4">
        <v>334</v>
      </c>
      <c r="C6" s="4">
        <v>1</v>
      </c>
      <c r="D6" s="4">
        <f>C6*515.38</f>
        <v>515.38</v>
      </c>
      <c r="E6" s="4"/>
      <c r="F6" s="1" t="s">
        <v>17</v>
      </c>
    </row>
    <row r="7" spans="1:6" x14ac:dyDescent="0.35">
      <c r="A7" s="7"/>
      <c r="B7" s="4"/>
      <c r="C7" s="4"/>
      <c r="D7" s="4"/>
      <c r="E7" s="4"/>
    </row>
    <row r="8" spans="1:6" x14ac:dyDescent="0.35">
      <c r="A8" s="7" t="s">
        <v>7</v>
      </c>
      <c r="B8" s="4">
        <f>C8*176</f>
        <v>176</v>
      </c>
      <c r="C8" s="4">
        <v>1</v>
      </c>
      <c r="D8" s="4">
        <f>C8*255.88</f>
        <v>255.88</v>
      </c>
      <c r="E8" s="4"/>
      <c r="F8" s="1" t="s">
        <v>8</v>
      </c>
    </row>
    <row r="9" spans="1:6" x14ac:dyDescent="0.35">
      <c r="A9" s="7"/>
      <c r="B9" s="4"/>
      <c r="C9" s="4"/>
      <c r="D9" s="4"/>
      <c r="E9" s="4"/>
    </row>
    <row r="10" spans="1:6" x14ac:dyDescent="0.35">
      <c r="A10" s="7" t="s">
        <v>18</v>
      </c>
      <c r="B10" s="4">
        <f>171*4</f>
        <v>684</v>
      </c>
      <c r="C10" s="4">
        <v>4</v>
      </c>
      <c r="D10" s="4">
        <f>C10*78</f>
        <v>312</v>
      </c>
      <c r="E10" s="4"/>
      <c r="F10" s="6" t="s">
        <v>21</v>
      </c>
    </row>
    <row r="11" spans="1:6" x14ac:dyDescent="0.35">
      <c r="A11" s="7"/>
      <c r="B11" s="4"/>
      <c r="C11" s="4"/>
      <c r="D11" s="4"/>
      <c r="E11" s="4"/>
      <c r="F11" s="1"/>
    </row>
    <row r="12" spans="1:6" x14ac:dyDescent="0.35">
      <c r="A12" s="7"/>
      <c r="B12" s="4"/>
      <c r="C12" s="4"/>
      <c r="D12" s="4"/>
      <c r="E12" s="4"/>
    </row>
    <row r="13" spans="1:6" x14ac:dyDescent="0.35">
      <c r="A13" s="7" t="s">
        <v>14</v>
      </c>
      <c r="B13">
        <f>C13*72</f>
        <v>72</v>
      </c>
      <c r="C13">
        <v>1</v>
      </c>
      <c r="D13">
        <v>299.10000000000002</v>
      </c>
      <c r="F13" s="1" t="s">
        <v>24</v>
      </c>
    </row>
    <row r="14" spans="1:6" x14ac:dyDescent="0.35">
      <c r="A14" s="7"/>
    </row>
    <row r="15" spans="1:6" x14ac:dyDescent="0.35">
      <c r="A15" s="7" t="s">
        <v>1</v>
      </c>
      <c r="B15" s="4">
        <f>C15*26</f>
        <v>104</v>
      </c>
      <c r="C15" s="4">
        <v>4</v>
      </c>
      <c r="D15" s="4">
        <f>C15*39.99</f>
        <v>159.96</v>
      </c>
      <c r="E15" s="4"/>
      <c r="F15" s="1" t="s">
        <v>22</v>
      </c>
    </row>
    <row r="16" spans="1:6" x14ac:dyDescent="0.35">
      <c r="A16" s="7"/>
      <c r="B16" s="4"/>
      <c r="C16" s="4"/>
      <c r="D16" s="4"/>
      <c r="E16" s="4"/>
    </row>
    <row r="17" spans="1:6" x14ac:dyDescent="0.35">
      <c r="A17" s="7" t="s">
        <v>12</v>
      </c>
      <c r="B17" s="4">
        <f>C17*67</f>
        <v>67</v>
      </c>
      <c r="C17" s="4">
        <v>1</v>
      </c>
      <c r="D17" s="4">
        <f>C17*50.07</f>
        <v>50.07</v>
      </c>
      <c r="E17" s="4"/>
      <c r="F17" s="1" t="s">
        <v>13</v>
      </c>
    </row>
    <row r="18" spans="1:6" x14ac:dyDescent="0.35">
      <c r="A18" s="7"/>
      <c r="B18" s="4"/>
      <c r="C18" s="4"/>
      <c r="D18" s="4"/>
      <c r="E18" s="4"/>
    </row>
    <row r="19" spans="1:6" x14ac:dyDescent="0.35">
      <c r="A19" s="7" t="s">
        <v>10</v>
      </c>
      <c r="B19" s="4">
        <v>0</v>
      </c>
      <c r="C19" s="4">
        <v>1</v>
      </c>
      <c r="D19" s="4">
        <f>C19*281.19</f>
        <v>281.19</v>
      </c>
      <c r="E19" s="4"/>
      <c r="F19" s="1" t="s">
        <v>25</v>
      </c>
    </row>
    <row r="20" spans="1:6" x14ac:dyDescent="0.35">
      <c r="A20" s="7"/>
      <c r="D20">
        <v>29.99</v>
      </c>
      <c r="F20" s="1" t="s">
        <v>26</v>
      </c>
    </row>
    <row r="21" spans="1:6" x14ac:dyDescent="0.35">
      <c r="A21" s="7" t="s">
        <v>15</v>
      </c>
      <c r="B21">
        <f>13*C21</f>
        <v>52</v>
      </c>
      <c r="C21">
        <v>4</v>
      </c>
      <c r="D21">
        <f>C21*56.9</f>
        <v>227.6</v>
      </c>
      <c r="F21" s="6" t="s">
        <v>36</v>
      </c>
    </row>
    <row r="22" spans="1:6" x14ac:dyDescent="0.35">
      <c r="A22" s="7"/>
      <c r="B22">
        <f>B19+B17+B15+B13+B10+B8+B6+B4+B2+250+B21+B30</f>
        <v>3418</v>
      </c>
      <c r="D22">
        <f>D2+D4+D6+D8+D10+D13+D15+D17+D19+D21+D20+D26+D27+D28+D29</f>
        <v>2604.1399999999994</v>
      </c>
    </row>
    <row r="23" spans="1:6" x14ac:dyDescent="0.35">
      <c r="A23" s="7"/>
    </row>
    <row r="24" spans="1:6" x14ac:dyDescent="0.35">
      <c r="A24" s="5" t="s">
        <v>27</v>
      </c>
    </row>
    <row r="25" spans="1:6" x14ac:dyDescent="0.35">
      <c r="A25" s="7"/>
    </row>
    <row r="26" spans="1:6" x14ac:dyDescent="0.35">
      <c r="A26" s="7" t="s">
        <v>28</v>
      </c>
      <c r="C26">
        <v>2</v>
      </c>
      <c r="D26">
        <f>7.5*C26</f>
        <v>15</v>
      </c>
      <c r="F26" s="1" t="s">
        <v>29</v>
      </c>
    </row>
    <row r="27" spans="1:6" x14ac:dyDescent="0.35">
      <c r="A27" s="7" t="s">
        <v>30</v>
      </c>
      <c r="C27">
        <v>1</v>
      </c>
      <c r="D27">
        <f>C27*4</f>
        <v>4</v>
      </c>
      <c r="F27" s="1" t="s">
        <v>31</v>
      </c>
    </row>
    <row r="28" spans="1:6" x14ac:dyDescent="0.35">
      <c r="A28" s="7" t="s">
        <v>32</v>
      </c>
      <c r="C28">
        <v>1</v>
      </c>
      <c r="D28">
        <f>6*C28</f>
        <v>6</v>
      </c>
      <c r="F28" s="1" t="s">
        <v>33</v>
      </c>
    </row>
    <row r="29" spans="1:6" x14ac:dyDescent="0.35">
      <c r="A29" s="7" t="s">
        <v>34</v>
      </c>
      <c r="C29">
        <v>1</v>
      </c>
      <c r="D29">
        <f>C29*20</f>
        <v>20</v>
      </c>
      <c r="F29" t="s">
        <v>35</v>
      </c>
    </row>
    <row r="30" spans="1:6" x14ac:dyDescent="0.35">
      <c r="A30" s="7" t="s">
        <v>37</v>
      </c>
      <c r="B30">
        <v>200</v>
      </c>
    </row>
    <row r="34" spans="6:6" x14ac:dyDescent="0.35">
      <c r="F34" t="s">
        <v>20</v>
      </c>
    </row>
  </sheetData>
  <hyperlinks>
    <hyperlink ref="F17" r:id="rId1" xr:uid="{0DD3B638-03AE-4805-BA1F-D6B3E4426CAE}"/>
    <hyperlink ref="F8" r:id="rId2" xr:uid="{9F0943D3-D7D6-4647-A0DA-C521863DBAC8}"/>
    <hyperlink ref="F2" r:id="rId3" xr:uid="{812E13D7-018D-4A59-97B9-7FBC4A102E52}"/>
    <hyperlink ref="F10" r:id="rId4" xr:uid="{9ECE5D0A-08F5-4450-9481-DF1BCDF48A35}"/>
    <hyperlink ref="F6" r:id="rId5" xr:uid="{7ED511BF-3233-4889-854B-425C20E1612A}"/>
    <hyperlink ref="F15" r:id="rId6" xr:uid="{E60AB7D6-7A4C-41A3-8350-B482FD0921C4}"/>
    <hyperlink ref="F4" r:id="rId7" display="https://www.fruugo.fi/uruav-222v-10000mah-60c-6s-lipo-akku-xt90-pistoke-rc-dronelle/p-334028395-736259878?language=fi&amp;ac=google&amp;utm_source=google&amp;utm_medium=paid&amp;asc=pmax&amp;gad_source=1&amp;gad_campaignid=21127137097&amp;gbraid=0AAAAADpXug2EFc1ci8AKT0iXxsPFLC2AZ&amp;gclid=CjwKCAiAnoXNBhAZEiwAnItcGzeoeh_bTphSDhwwqplz8Unhppv1_isu7Gxbc4pvcHX4oID_8KQnyBoCcnUQAvD_BwE" xr:uid="{A0FFB2B2-35D9-4D5B-A19C-C8AB0B137B66}"/>
    <hyperlink ref="F5" r:id="rId8" xr:uid="{3AB0A3C9-11D5-459F-B56B-CA9AFA7294D6}"/>
    <hyperlink ref="F26" r:id="rId9" xr:uid="{B6C1BAA1-52A1-4AEB-8A6C-F96C87450F70}"/>
    <hyperlink ref="F27" r:id="rId10" xr:uid="{74DEADD1-280A-4F30-AB14-A2617DE48A9A}"/>
    <hyperlink ref="F28" r:id="rId11" display="https://www.dronivo.de/Holybro-Power-of-Distribution-Board" xr:uid="{8FCA638B-3F19-4BC9-903D-FC63BE23BE58}"/>
  </hyperlinks>
  <pageMargins left="0.7" right="0.7" top="0.75" bottom="0.75" header="0.3" footer="0.3"/>
  <pageSetup paperSize="9" orientation="portrait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91cf08-5b4c-4571-932d-8010f76695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66BFE135A1447B7C114702E1BB2BA" ma:contentTypeVersion="14" ma:contentTypeDescription="Een nieuw document maken." ma:contentTypeScope="" ma:versionID="14a87b7e4eecf762ba1441bfc57d1ee6">
  <xsd:schema xmlns:xsd="http://www.w3.org/2001/XMLSchema" xmlns:xs="http://www.w3.org/2001/XMLSchema" xmlns:p="http://schemas.microsoft.com/office/2006/metadata/properties" xmlns:ns3="9391cf08-5b4c-4571-932d-8010f76695ef" xmlns:ns4="49ca2288-8215-44f3-afb1-162729b1a566" targetNamespace="http://schemas.microsoft.com/office/2006/metadata/properties" ma:root="true" ma:fieldsID="ef630a598fcd8e0783a3f3e90e0ce937" ns3:_="" ns4:_="">
    <xsd:import namespace="9391cf08-5b4c-4571-932d-8010f76695ef"/>
    <xsd:import namespace="49ca2288-8215-44f3-afb1-162729b1a5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1cf08-5b4c-4571-932d-8010f7669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a2288-8215-44f3-afb1-162729b1a56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36434-C624-4396-8364-3B42BE1394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90DDE-26CB-4E02-8848-79DF45CC646B}">
  <ds:schemaRefs>
    <ds:schemaRef ds:uri="http://schemas.microsoft.com/office/2006/documentManagement/types"/>
    <ds:schemaRef ds:uri="http://purl.org/dc/terms/"/>
    <ds:schemaRef ds:uri="49ca2288-8215-44f3-afb1-162729b1a566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9391cf08-5b4c-4571-932d-8010f76695e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0A25721-6CAA-43CF-AC56-8E33CA06FA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91cf08-5b4c-4571-932d-8010f76695ef"/>
    <ds:schemaRef ds:uri="49ca2288-8215-44f3-afb1-162729b1a5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ff66c5-45db-46ed-8b81-87959e069b90}" enabled="0" method="" siteId="{0bff66c5-45db-46ed-8b81-87959e069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Warnants</dc:creator>
  <cp:lastModifiedBy>Samy Warnants</cp:lastModifiedBy>
  <dcterms:created xsi:type="dcterms:W3CDTF">2026-02-10T07:58:50Z</dcterms:created>
  <dcterms:modified xsi:type="dcterms:W3CDTF">2026-05-25T10:01:22Z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0x01010057866BFE135A1447B7C114702E1BB2BA</vt:lpwstr>
  </property>
</Properties>
</file>